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985c0986e4239b5/Formation DATA Analyst/13-Créez votre portfolio de professionnel de la data/livrables/dashboard Veille techno/"/>
    </mc:Choice>
  </mc:AlternateContent>
  <xr:revisionPtr revIDLastSave="171" documentId="11_F219EDCC495121FFE530925268AA01C159F95EA5" xr6:coauthVersionLast="47" xr6:coauthVersionMax="47" xr10:uidLastSave="{1FEE4D38-6043-4B69-8226-36669CC6E47E}"/>
  <bookViews>
    <workbookView xWindow="43080" yWindow="-120" windowWidth="29040" windowHeight="15720" activeTab="2" xr2:uid="{00000000-000D-0000-FFFF-FFFF00000000}"/>
  </bookViews>
  <sheets>
    <sheet name="Outils" sheetId="1" r:id="rId1"/>
    <sheet name="Méthodes" sheetId="2" r:id="rId2"/>
    <sheet name="Synthèse Veil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3" l="1"/>
  <c r="D13" i="3"/>
  <c r="D14" i="3"/>
  <c r="D15" i="3"/>
  <c r="D16" i="3"/>
  <c r="D17" i="3"/>
  <c r="D18" i="3"/>
  <c r="D12" i="3"/>
  <c r="D19" i="3"/>
  <c r="D11" i="3"/>
  <c r="D3" i="3"/>
  <c r="D4" i="3"/>
  <c r="D5" i="3"/>
  <c r="D6" i="3"/>
  <c r="D7" i="3"/>
  <c r="D8" i="3"/>
  <c r="D9" i="3"/>
  <c r="D10" i="3"/>
  <c r="D2" i="3"/>
  <c r="H13" i="3"/>
  <c r="H14" i="3"/>
  <c r="H15" i="3"/>
  <c r="H16" i="3"/>
  <c r="H17" i="3"/>
  <c r="H18" i="3"/>
  <c r="H12" i="3"/>
  <c r="H19" i="3"/>
  <c r="H3" i="3"/>
  <c r="H4" i="3"/>
  <c r="H5" i="3"/>
  <c r="H6" i="3"/>
  <c r="H7" i="3"/>
  <c r="H8" i="3"/>
  <c r="H9" i="3"/>
  <c r="H10" i="3"/>
  <c r="H11" i="3"/>
  <c r="H2" i="3"/>
  <c r="G13" i="3"/>
  <c r="G14" i="3"/>
  <c r="G15" i="3"/>
  <c r="G16" i="3"/>
  <c r="G17" i="3"/>
  <c r="G18" i="3"/>
  <c r="G12" i="3"/>
  <c r="G19" i="3"/>
  <c r="G11" i="3"/>
  <c r="G10" i="3"/>
  <c r="G9" i="3"/>
  <c r="G8" i="3"/>
  <c r="G7" i="3"/>
  <c r="G6" i="3"/>
  <c r="G5" i="3"/>
  <c r="G4" i="3"/>
  <c r="G3" i="3"/>
  <c r="G2" i="3"/>
  <c r="G12" i="1"/>
  <c r="G11" i="1"/>
  <c r="F11" i="3" s="1"/>
  <c r="G10" i="1"/>
  <c r="F10" i="3" s="1"/>
  <c r="G9" i="1"/>
  <c r="F9" i="3" s="1"/>
  <c r="G8" i="1"/>
  <c r="G7" i="1"/>
  <c r="G6" i="1"/>
  <c r="G5" i="1"/>
  <c r="G4" i="1"/>
  <c r="F4" i="3" s="1"/>
  <c r="G3" i="1"/>
  <c r="F3" i="3" s="1"/>
  <c r="G2" i="1"/>
  <c r="F19" i="3"/>
  <c r="J18" i="3"/>
  <c r="F18" i="3"/>
  <c r="J17" i="3"/>
  <c r="F17" i="3"/>
  <c r="J16" i="3"/>
  <c r="F16" i="3"/>
  <c r="J15" i="3"/>
  <c r="F15" i="3"/>
  <c r="J14" i="3"/>
  <c r="F14" i="3"/>
  <c r="J13" i="3"/>
  <c r="F13" i="3"/>
  <c r="J12" i="3"/>
  <c r="F12" i="3"/>
  <c r="J11" i="3"/>
  <c r="J10" i="3"/>
  <c r="J9" i="3"/>
  <c r="J8" i="3"/>
  <c r="F8" i="3"/>
  <c r="J7" i="3"/>
  <c r="F7" i="3"/>
  <c r="J6" i="3"/>
  <c r="F6" i="3"/>
  <c r="F5" i="3"/>
  <c r="J4" i="3"/>
  <c r="J3" i="3"/>
  <c r="J2" i="3"/>
  <c r="F2" i="3"/>
</calcChain>
</file>

<file path=xl/sharedStrings.xml><?xml version="1.0" encoding="utf-8"?>
<sst xmlns="http://schemas.openxmlformats.org/spreadsheetml/2006/main" count="264" uniqueCount="177">
  <si>
    <t>Ref.</t>
  </si>
  <si>
    <t>Type</t>
  </si>
  <si>
    <t>Nom</t>
  </si>
  <si>
    <t>Famille / Catégorie</t>
  </si>
  <si>
    <t>Projet source</t>
  </si>
  <si>
    <t>Score
performance</t>
  </si>
  <si>
    <t>Priorité
(1=haute)</t>
  </si>
  <si>
    <t>Recommandation finale</t>
  </si>
  <si>
    <t>Lien besoin Aéroworld</t>
  </si>
  <si>
    <t>Source documentaire</t>
  </si>
  <si>
    <t>S01</t>
  </si>
  <si>
    <t>Outil</t>
  </si>
  <si>
    <t>Power BI</t>
  </si>
  <si>
    <t>Visualisation / BI</t>
  </si>
  <si>
    <t>P7, P10, P13</t>
  </si>
  <si>
    <t>Gouvernance data / Reporting opérationnel</t>
  </si>
  <si>
    <t>S02</t>
  </si>
  <si>
    <t>Python (Jupyter Notebook)</t>
  </si>
  <si>
    <t>Analyse / Modélisation</t>
  </si>
  <si>
    <t>P4→P12</t>
  </si>
  <si>
    <t>Analyse données capteurs / prédiction</t>
  </si>
  <si>
    <t>S03</t>
  </si>
  <si>
    <t>Pandas</t>
  </si>
  <si>
    <t>Manipulation de données</t>
  </si>
  <si>
    <t>Nettoyage et préparation données massives</t>
  </si>
  <si>
    <t>S04</t>
  </si>
  <si>
    <t>Scikit-learn</t>
  </si>
  <si>
    <t>Machine Learning</t>
  </si>
  <si>
    <t>P8, P11, P12</t>
  </si>
  <si>
    <t>Maintenance prédictive / détection anomalies</t>
  </si>
  <si>
    <t>S05</t>
  </si>
  <si>
    <t>SQL (PostgreSQL/SQLite)</t>
  </si>
  <si>
    <t>Requêtage BDD</t>
  </si>
  <si>
    <t>P5, P6</t>
  </si>
  <si>
    <t>Recommandé</t>
  </si>
  <si>
    <t>Interrogation bases données opérationnelles</t>
  </si>
  <si>
    <t>S06</t>
  </si>
  <si>
    <t>Matplotlib / Seaborn</t>
  </si>
  <si>
    <t>Visualisation Python</t>
  </si>
  <si>
    <t>Exploration et restitution analyses data</t>
  </si>
  <si>
    <t>S07</t>
  </si>
  <si>
    <t>Power Query (Power BI)</t>
  </si>
  <si>
    <t>P7, P13</t>
  </si>
  <si>
    <t>Automatisation nettoyage données hebdo.</t>
  </si>
  <si>
    <t>S08</t>
  </si>
  <si>
    <t>Excel</t>
  </si>
  <si>
    <t>Tableur / Analyse de base</t>
  </si>
  <si>
    <t>P2, P13</t>
  </si>
  <si>
    <t>Communication résultats / préparation données simples</t>
  </si>
  <si>
    <t>S09</t>
  </si>
  <si>
    <t>KNIME</t>
  </si>
  <si>
    <t>ML visuel / Low-code</t>
  </si>
  <si>
    <t>P8</t>
  </si>
  <si>
    <t>Accessibilité ML pour équipes non-techniques Aéroworld</t>
  </si>
  <si>
    <t>S10</t>
  </si>
  <si>
    <t>Streamlit</t>
  </si>
  <si>
    <t>Déploiement app ML</t>
  </si>
  <si>
    <t>P12</t>
  </si>
  <si>
    <t>Mise en production modèles ML (maintenance prédictive)</t>
  </si>
  <si>
    <t>S11</t>
  </si>
  <si>
    <t>Méthode</t>
  </si>
  <si>
    <t>Régression logistique</t>
  </si>
  <si>
    <t>ML Supervisé — Classification</t>
  </si>
  <si>
    <t>S12</t>
  </si>
  <si>
    <t>Random Forest</t>
  </si>
  <si>
    <t>ML Supervisé — Ensemble</t>
  </si>
  <si>
    <t>Prédiction pannes équipements aéronautiques</t>
  </si>
  <si>
    <t>S13</t>
  </si>
  <si>
    <t>K-Means Clustering</t>
  </si>
  <si>
    <t>ML Non Supervisé</t>
  </si>
  <si>
    <t>P11, P12</t>
  </si>
  <si>
    <t>Segmentation comportements vols / flottes</t>
  </si>
  <si>
    <t>S14</t>
  </si>
  <si>
    <t>Réduction de dimensions</t>
  </si>
  <si>
    <t>P11</t>
  </si>
  <si>
    <t>Réduction données capteurs haute dimensionnalité</t>
  </si>
  <si>
    <t>S15</t>
  </si>
  <si>
    <t>Analyse de séries temporelles</t>
  </si>
  <si>
    <t>Statistiques temporelles</t>
  </si>
  <si>
    <t>P9</t>
  </si>
  <si>
    <t>Analyse tendances opérationnelles (carburant, maintenance)</t>
  </si>
  <si>
    <t>S16</t>
  </si>
  <si>
    <t>Statistiques inférentielles</t>
  </si>
  <si>
    <t>Validation hypothèses sur données de vol</t>
  </si>
  <si>
    <t>S17</t>
  </si>
  <si>
    <t>Classification anomalies sur données capteurs embarqués</t>
  </si>
  <si>
    <t>S18</t>
  </si>
  <si>
    <t>SQL Power Architect</t>
  </si>
  <si>
    <t>Modélisation BDD</t>
  </si>
  <si>
    <t>P5</t>
  </si>
  <si>
    <t>Structuration architecture Data Lake Aéroworld</t>
  </si>
  <si>
    <t>ID_Outil</t>
  </si>
  <si>
    <t>Nom_Outil</t>
  </si>
  <si>
    <t>Catégorie</t>
  </si>
  <si>
    <t>Projet(s) source</t>
  </si>
  <si>
    <t>Facilité usage (1-5)</t>
  </si>
  <si>
    <t>Efficacité (1-5)</t>
  </si>
  <si>
    <t>Score global</t>
  </si>
  <si>
    <t>Priorité</t>
  </si>
  <si>
    <t>Recommandation</t>
  </si>
  <si>
    <t>Commentaire</t>
  </si>
  <si>
    <t>OT01</t>
  </si>
  <si>
    <t>Outil principal de dashboarding interactif ; idéal pour le reporting opérationnel en temps réel des données de vol et de maintenance chez Aéroworld</t>
  </si>
  <si>
    <t>OT02</t>
  </si>
  <si>
    <t>P4, P6, P8, P9, P11, P12</t>
  </si>
  <si>
    <t>Langage polyvalent couvrant l'ensemble de la chaîne data : collecte, nettoyage, modélisation et visualisation des données capteurs embarqués</t>
  </si>
  <si>
    <t>OT03</t>
  </si>
  <si>
    <t>Bibliothèque incontournable pour la manipulation et la préparation des volumes massifs de données opérationnelles générés par Aéroworld</t>
  </si>
  <si>
    <t>OT04</t>
  </si>
  <si>
    <t>Permet d'implémenter des modèles de maintenance prédictive et de détection d'anomalies sur les données de capteurs des flottes Aéroworld</t>
  </si>
  <si>
    <t>OT05</t>
  </si>
  <si>
    <t>Essentiel pour interroger les bases de données structurées (historiques de maintenance, données clients, opérations) dans le système d'information Aéroworld</t>
  </si>
  <si>
    <t>OT06</t>
  </si>
  <si>
    <t>Bibliothèques de référence pour l'exploration visuelle des données de vol et la restitution des analyses aux équipes techniques Aéroworld</t>
  </si>
  <si>
    <t>OT07</t>
  </si>
  <si>
    <t>Transformation de données</t>
  </si>
  <si>
    <t>Automatisation du nettoyage et de la transformation des données hebdomadaires directement dans Power BI, sans intervention manuelle</t>
  </si>
  <si>
    <t>OT08</t>
  </si>
  <si>
    <t>Outil universel pour la préparation de données simples et la communication des résultats ; limité pour l'analyse avancée des données de capteurs</t>
  </si>
  <si>
    <t>OT09</t>
  </si>
  <si>
    <t>Approche no-code/low-code pour le ML ; intéressant pour permettre aux équipes opérationnelles d'Aéroworld de construire des pipelines sans compétences Python</t>
  </si>
  <si>
    <t>OT10</t>
  </si>
  <si>
    <t>Permet de déployer rapidement une application ML interactive (ex : prédiction de défaillance moteur à partir des données capteurs embarqués) ; forte valeur ajoutée pour la mise en production</t>
  </si>
  <si>
    <t>OT11</t>
  </si>
  <si>
    <t>Conception et modélisation de l'architecture data (schémas entité-relation) ; utile pour structurer le Data Lake Aéroworld</t>
  </si>
  <si>
    <t>ID_Méthode</t>
  </si>
  <si>
    <t>Nom_Méthode</t>
  </si>
  <si>
    <t>Famille</t>
  </si>
  <si>
    <t>Métrique perf.</t>
  </si>
  <si>
    <t>Besoin métier associé</t>
  </si>
  <si>
    <t>Statut</t>
  </si>
  <si>
    <t>ME01</t>
  </si>
  <si>
    <t>Accuracy / F1-score</t>
  </si>
  <si>
    <t>Détection anomalies sur données capteur embarqués - aide à la décision pour la  maintenance prédictive des flottes</t>
  </si>
  <si>
    <t>Expérimenté</t>
  </si>
  <si>
    <t>ME02</t>
  </si>
  <si>
    <t>Prédiction défaillances composants aéronautiques</t>
  </si>
  <si>
    <t>ME03</t>
  </si>
  <si>
    <t>Inertie / Silhouette</t>
  </si>
  <si>
    <t>Segmentation flottes / regroupement comportements vols</t>
  </si>
  <si>
    <t>ME04</t>
  </si>
  <si>
    <t>Variance expliquée (%)</t>
  </si>
  <si>
    <t>Réduction dimensionnalité des données capteurs embarqués</t>
  </si>
  <si>
    <t>ME05</t>
  </si>
  <si>
    <t>RMSE / R²</t>
  </si>
  <si>
    <t>Analyse tendances consommation carburant / volumes de vol</t>
  </si>
  <si>
    <t>ME06</t>
  </si>
  <si>
    <t>p-value</t>
  </si>
  <si>
    <t>Validation hypothèses sur données opérationnelles Aéroworld</t>
  </si>
  <si>
    <t>ME07</t>
  </si>
  <si>
    <t>Classification et détection d'anomalies sur données opérationnelles</t>
  </si>
  <si>
    <t>https://bestofbi.com/products/sql-power-architect-data-modeling/</t>
  </si>
  <si>
    <t>Applicabilité Aéroworld (1-5)</t>
  </si>
  <si>
    <t>Détection anomalies capteurs / maintenance prédictive des flottes</t>
  </si>
  <si>
    <t>PRIORITAIRE</t>
  </si>
  <si>
    <t>A évaluer</t>
  </si>
  <si>
    <t>ACP</t>
  </si>
  <si>
    <t>Tests statistiques</t>
  </si>
  <si>
    <t>KNN</t>
  </si>
  <si>
    <t>https://learn.microsoft.com/fr-fr/power-bi/</t>
  </si>
  <si>
    <t>https://www.python.org/</t>
  </si>
  <si>
    <t>https://pandas.pydata.org/</t>
  </si>
  <si>
    <t>https://scikit-learn.org/stable/</t>
  </si>
  <si>
    <t>PostgreSQL (SQL)</t>
  </si>
  <si>
    <t>https://www.postgresql.org/</t>
  </si>
  <si>
    <t>https://learn.microsoft.com/fr-fr/power-query/</t>
  </si>
  <si>
    <t>https://support.microsoft.com/fr-fr/excel</t>
  </si>
  <si>
    <t>https://docs.knime.com/ap/latest/</t>
  </si>
  <si>
    <t>https://docs.streamlit.io/</t>
  </si>
  <si>
    <t>https://scikit-learn.org/stable/modules/linear_model.html#logistic-regression</t>
  </si>
  <si>
    <t>https://scikit-learn.org/stable/modules/ensemble.html#random-forests</t>
  </si>
  <si>
    <t>https://scikit-learn.org/stable/modules/clustering.html#k-means</t>
  </si>
  <si>
    <t>https://scikit-learn.org/stable/modules/decomposition.html#pca</t>
  </si>
  <si>
    <t>https://www.statsmodels.org/stable/tsa.html</t>
  </si>
  <si>
    <t>https://docs.scipy.org/doc/scipy/reference/stats.html</t>
  </si>
  <si>
    <t>https://scikit-learn.org/stable/modules/neighbors.html</t>
  </si>
  <si>
    <t>https://matplotlib.org/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</si>
</sst>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u/>
      <sz val="11"/>
      <color theme="10"/>
      <name val="Calibri"/>
      <family val="2"/>
      <scheme val="minor"/>
    </font>
    <font>
      <u/>
      <sz val="9"/>
      <color theme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BF4FB"/>
      </patternFill>
    </fill>
    <fill>
      <patternFill patternType="solid">
        <fgColor rgb="FF17647A"/>
      </patternFill>
    </fill>
    <fill>
      <patternFill patternType="solid">
        <fgColor rgb="FFD0ECF0"/>
      </patternFill>
    </fill>
    <fill>
      <patternFill patternType="solid">
        <fgColor rgb="FFE8F5F7"/>
      </patternFill>
    </fill>
    <fill>
      <patternFill patternType="solid">
        <fgColor rgb="FF3B1F79"/>
      </patternFill>
    </fill>
    <fill>
      <patternFill patternType="solid">
        <fgColor rgb="FFE6D6F0"/>
      </patternFill>
    </fill>
    <fill>
      <patternFill patternType="solid">
        <fgColor rgb="FFF2EBF9"/>
      </patternFill>
    </fill>
    <fill>
      <patternFill patternType="solid">
        <fgColor rgb="FFE6D6F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4" fillId="3" borderId="1" xfId="1" applyFont="1" applyFill="1" applyBorder="1" applyAlignment="1">
      <alignment horizontal="left" vertical="center" wrapText="1"/>
    </xf>
    <xf numFmtId="0" fontId="4" fillId="4" borderId="1" xfId="1" applyFont="1" applyFill="1" applyBorder="1" applyAlignment="1">
      <alignment horizontal="left" vertical="center" wrapText="1"/>
    </xf>
    <xf numFmtId="0" fontId="4" fillId="6" borderId="1" xfId="1" applyFont="1" applyFill="1" applyBorder="1" applyAlignment="1">
      <alignment horizontal="left" vertical="center" wrapText="1"/>
    </xf>
    <xf numFmtId="0" fontId="4" fillId="7" borderId="1" xfId="1" applyFont="1" applyFill="1" applyBorder="1" applyAlignment="1">
      <alignment horizontal="lef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knime.com/ap/latest/" TargetMode="External"/><Relationship Id="rId3" Type="http://schemas.openxmlformats.org/officeDocument/2006/relationships/hyperlink" Target="https://pandas.pydata.org/" TargetMode="External"/><Relationship Id="rId7" Type="http://schemas.openxmlformats.org/officeDocument/2006/relationships/hyperlink" Target="https://support.microsoft.com/fr-fr/excel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python.org/" TargetMode="External"/><Relationship Id="rId1" Type="http://schemas.openxmlformats.org/officeDocument/2006/relationships/hyperlink" Target="https://learn.microsoft.com/fr-fr/power-bi/" TargetMode="External"/><Relationship Id="rId6" Type="http://schemas.openxmlformats.org/officeDocument/2006/relationships/hyperlink" Target="https://learn.microsoft.com/fr-fr/power-query/" TargetMode="External"/><Relationship Id="rId11" Type="http://schemas.openxmlformats.org/officeDocument/2006/relationships/hyperlink" Target="https://matplotlib.org/" TargetMode="External"/><Relationship Id="rId5" Type="http://schemas.openxmlformats.org/officeDocument/2006/relationships/hyperlink" Target="https://www.postgresql.org/" TargetMode="External"/><Relationship Id="rId10" Type="http://schemas.openxmlformats.org/officeDocument/2006/relationships/hyperlink" Target="https://bestofbi.com/products/sql-power-architect-data-modeling/" TargetMode="External"/><Relationship Id="rId4" Type="http://schemas.openxmlformats.org/officeDocument/2006/relationships/hyperlink" Target="https://scikit-learn.org/stable/" TargetMode="External"/><Relationship Id="rId9" Type="http://schemas.openxmlformats.org/officeDocument/2006/relationships/hyperlink" Target="https://docs.streamlit.io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cikit-learn.org/stable/modules/clustering.html" TargetMode="External"/><Relationship Id="rId7" Type="http://schemas.openxmlformats.org/officeDocument/2006/relationships/hyperlink" Target="https://scikit-learn.org/stable/modules/neighbors.html" TargetMode="External"/><Relationship Id="rId2" Type="http://schemas.openxmlformats.org/officeDocument/2006/relationships/hyperlink" Target="https://scikit-learn.org/stable/modules/ensemble.html" TargetMode="External"/><Relationship Id="rId1" Type="http://schemas.openxmlformats.org/officeDocument/2006/relationships/hyperlink" Target="https://scikit-learn.org/stable/modules/linear_model.html" TargetMode="External"/><Relationship Id="rId6" Type="http://schemas.openxmlformats.org/officeDocument/2006/relationships/hyperlink" Target="https://docs.scipy.org/doc/scipy/reference/stats.html" TargetMode="External"/><Relationship Id="rId5" Type="http://schemas.openxmlformats.org/officeDocument/2006/relationships/hyperlink" Target="https://www.statsmodels.org/stable/tsa.html" TargetMode="External"/><Relationship Id="rId4" Type="http://schemas.openxmlformats.org/officeDocument/2006/relationships/hyperlink" Target="https://scikit-learn.org/stable/modules/decompositio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opLeftCell="B1" workbookViewId="0">
      <pane ySplit="1" topLeftCell="A2" activePane="bottomLeft" state="frozen"/>
      <selection pane="bottomLeft" activeCell="B13" sqref="A13:XFD21"/>
    </sheetView>
  </sheetViews>
  <sheetFormatPr baseColWidth="10" defaultColWidth="9.1328125" defaultRowHeight="14.25" x14ac:dyDescent="0.45"/>
  <cols>
    <col min="1" max="1" width="8" customWidth="1"/>
    <col min="2" max="2" width="24" customWidth="1"/>
    <col min="3" max="3" width="22" customWidth="1"/>
    <col min="4" max="4" width="24" customWidth="1"/>
    <col min="5" max="5" width="14" customWidth="1"/>
    <col min="6" max="6" width="10" customWidth="1"/>
    <col min="7" max="7" width="12" customWidth="1"/>
    <col min="8" max="8" width="10" customWidth="1"/>
    <col min="9" max="9" width="17.3984375" customWidth="1"/>
    <col min="10" max="10" width="30" customWidth="1"/>
    <col min="11" max="11" width="81.3984375" customWidth="1"/>
  </cols>
  <sheetData>
    <row r="1" spans="1:11" ht="26.25" customHeight="1" x14ac:dyDescent="0.45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9</v>
      </c>
      <c r="K1" s="1" t="s">
        <v>100</v>
      </c>
    </row>
    <row r="2" spans="1:11" ht="23.25" customHeight="1" x14ac:dyDescent="0.45">
      <c r="A2" s="2" t="s">
        <v>101</v>
      </c>
      <c r="B2" s="2" t="s">
        <v>12</v>
      </c>
      <c r="C2" s="2" t="s">
        <v>13</v>
      </c>
      <c r="D2" s="2" t="s">
        <v>14</v>
      </c>
      <c r="E2" s="3">
        <v>4</v>
      </c>
      <c r="F2" s="3">
        <v>5</v>
      </c>
      <c r="G2" s="3">
        <f t="shared" ref="G2:G11" si="0">(E2+F2)/2</f>
        <v>4.5</v>
      </c>
      <c r="H2" s="16">
        <v>1</v>
      </c>
      <c r="I2" s="2" t="s">
        <v>154</v>
      </c>
      <c r="J2" s="23" t="s">
        <v>159</v>
      </c>
      <c r="K2" s="4" t="s">
        <v>102</v>
      </c>
    </row>
    <row r="3" spans="1:11" ht="23.25" customHeight="1" x14ac:dyDescent="0.45">
      <c r="A3" s="4" t="s">
        <v>103</v>
      </c>
      <c r="B3" s="4" t="s">
        <v>17</v>
      </c>
      <c r="C3" s="4" t="s">
        <v>18</v>
      </c>
      <c r="D3" s="4" t="s">
        <v>104</v>
      </c>
      <c r="E3" s="5">
        <v>3.5</v>
      </c>
      <c r="F3" s="5">
        <v>5</v>
      </c>
      <c r="G3" s="5">
        <f t="shared" si="0"/>
        <v>4.25</v>
      </c>
      <c r="H3" s="17">
        <v>1</v>
      </c>
      <c r="I3" s="4" t="s">
        <v>154</v>
      </c>
      <c r="J3" s="24" t="s">
        <v>160</v>
      </c>
      <c r="K3" s="2" t="s">
        <v>105</v>
      </c>
    </row>
    <row r="4" spans="1:11" ht="23.25" customHeight="1" x14ac:dyDescent="0.45">
      <c r="A4" s="2" t="s">
        <v>106</v>
      </c>
      <c r="B4" s="2" t="s">
        <v>22</v>
      </c>
      <c r="C4" s="2" t="s">
        <v>23</v>
      </c>
      <c r="D4" s="2" t="s">
        <v>104</v>
      </c>
      <c r="E4" s="3">
        <v>3.8</v>
      </c>
      <c r="F4" s="3">
        <v>5</v>
      </c>
      <c r="G4" s="3">
        <f t="shared" si="0"/>
        <v>4.4000000000000004</v>
      </c>
      <c r="H4" s="16">
        <v>1</v>
      </c>
      <c r="I4" s="2" t="s">
        <v>154</v>
      </c>
      <c r="J4" s="23" t="s">
        <v>161</v>
      </c>
      <c r="K4" s="4" t="s">
        <v>107</v>
      </c>
    </row>
    <row r="5" spans="1:11" ht="23.25" customHeight="1" x14ac:dyDescent="0.45">
      <c r="A5" s="4" t="s">
        <v>108</v>
      </c>
      <c r="B5" s="4" t="s">
        <v>26</v>
      </c>
      <c r="C5" s="4" t="s">
        <v>27</v>
      </c>
      <c r="D5" s="4" t="s">
        <v>28</v>
      </c>
      <c r="E5" s="5">
        <v>3.2</v>
      </c>
      <c r="F5" s="5">
        <v>5</v>
      </c>
      <c r="G5" s="5">
        <f t="shared" si="0"/>
        <v>4.0999999999999996</v>
      </c>
      <c r="H5" s="17">
        <v>1</v>
      </c>
      <c r="I5" s="4" t="s">
        <v>154</v>
      </c>
      <c r="J5" s="24" t="s">
        <v>162</v>
      </c>
      <c r="K5" s="2" t="s">
        <v>109</v>
      </c>
    </row>
    <row r="6" spans="1:11" ht="23.25" customHeight="1" x14ac:dyDescent="0.45">
      <c r="A6" s="2" t="s">
        <v>110</v>
      </c>
      <c r="B6" s="2" t="s">
        <v>163</v>
      </c>
      <c r="C6" s="2" t="s">
        <v>32</v>
      </c>
      <c r="D6" s="2" t="s">
        <v>33</v>
      </c>
      <c r="E6" s="3">
        <v>4</v>
      </c>
      <c r="F6" s="3">
        <v>4</v>
      </c>
      <c r="G6" s="3">
        <f t="shared" si="0"/>
        <v>4</v>
      </c>
      <c r="H6" s="16">
        <v>1</v>
      </c>
      <c r="I6" s="2" t="s">
        <v>154</v>
      </c>
      <c r="J6" s="23" t="s">
        <v>164</v>
      </c>
      <c r="K6" s="4" t="s">
        <v>111</v>
      </c>
    </row>
    <row r="7" spans="1:11" ht="23.25" customHeight="1" x14ac:dyDescent="0.45">
      <c r="A7" s="4" t="s">
        <v>112</v>
      </c>
      <c r="B7" s="4" t="s">
        <v>37</v>
      </c>
      <c r="C7" s="4" t="s">
        <v>38</v>
      </c>
      <c r="D7" s="4" t="s">
        <v>104</v>
      </c>
      <c r="E7" s="5">
        <v>3.6</v>
      </c>
      <c r="F7" s="5">
        <v>4.8</v>
      </c>
      <c r="G7" s="5">
        <f t="shared" si="0"/>
        <v>4.2</v>
      </c>
      <c r="H7" s="17">
        <v>2</v>
      </c>
      <c r="I7" s="4" t="s">
        <v>34</v>
      </c>
      <c r="J7" s="24" t="s">
        <v>176</v>
      </c>
      <c r="K7" s="2" t="s">
        <v>113</v>
      </c>
    </row>
    <row r="8" spans="1:11" ht="23.25" customHeight="1" x14ac:dyDescent="0.45">
      <c r="A8" s="2" t="s">
        <v>114</v>
      </c>
      <c r="B8" s="2" t="s">
        <v>41</v>
      </c>
      <c r="C8" s="2" t="s">
        <v>115</v>
      </c>
      <c r="D8" s="2" t="s">
        <v>14</v>
      </c>
      <c r="E8" s="3">
        <v>4</v>
      </c>
      <c r="F8" s="3">
        <v>4</v>
      </c>
      <c r="G8" s="3">
        <f t="shared" si="0"/>
        <v>4</v>
      </c>
      <c r="H8" s="16">
        <v>2</v>
      </c>
      <c r="I8" s="2" t="s">
        <v>34</v>
      </c>
      <c r="J8" s="23" t="s">
        <v>165</v>
      </c>
      <c r="K8" s="4" t="s">
        <v>116</v>
      </c>
    </row>
    <row r="9" spans="1:11" ht="23.25" customHeight="1" x14ac:dyDescent="0.45">
      <c r="A9" s="4" t="s">
        <v>117</v>
      </c>
      <c r="B9" s="4" t="s">
        <v>45</v>
      </c>
      <c r="C9" s="4" t="s">
        <v>46</v>
      </c>
      <c r="D9" s="4" t="s">
        <v>47</v>
      </c>
      <c r="E9" s="5">
        <v>5</v>
      </c>
      <c r="F9" s="5">
        <v>3</v>
      </c>
      <c r="G9" s="5">
        <f t="shared" si="0"/>
        <v>4</v>
      </c>
      <c r="H9" s="17">
        <v>3</v>
      </c>
      <c r="I9" s="4" t="s">
        <v>155</v>
      </c>
      <c r="J9" s="24" t="s">
        <v>166</v>
      </c>
      <c r="K9" s="2" t="s">
        <v>118</v>
      </c>
    </row>
    <row r="10" spans="1:11" ht="23.25" customHeight="1" x14ac:dyDescent="0.45">
      <c r="A10" s="2" t="s">
        <v>119</v>
      </c>
      <c r="B10" s="2" t="s">
        <v>50</v>
      </c>
      <c r="C10" s="2" t="s">
        <v>51</v>
      </c>
      <c r="D10" s="2" t="s">
        <v>52</v>
      </c>
      <c r="E10" s="3">
        <v>3</v>
      </c>
      <c r="F10" s="3">
        <v>3.5</v>
      </c>
      <c r="G10" s="3">
        <f t="shared" si="0"/>
        <v>3.25</v>
      </c>
      <c r="H10" s="16">
        <v>3</v>
      </c>
      <c r="I10" s="2" t="s">
        <v>155</v>
      </c>
      <c r="J10" s="23" t="s">
        <v>167</v>
      </c>
      <c r="K10" s="4" t="s">
        <v>120</v>
      </c>
    </row>
    <row r="11" spans="1:11" ht="23.25" customHeight="1" x14ac:dyDescent="0.45">
      <c r="A11" s="4" t="s">
        <v>121</v>
      </c>
      <c r="B11" s="4" t="s">
        <v>55</v>
      </c>
      <c r="C11" s="4" t="s">
        <v>56</v>
      </c>
      <c r="D11" s="4" t="s">
        <v>57</v>
      </c>
      <c r="E11" s="5">
        <v>3.2</v>
      </c>
      <c r="F11" s="5">
        <v>4.8</v>
      </c>
      <c r="G11" s="5">
        <f t="shared" si="0"/>
        <v>4</v>
      </c>
      <c r="H11" s="17">
        <v>2</v>
      </c>
      <c r="I11" s="4" t="s">
        <v>34</v>
      </c>
      <c r="J11" s="24" t="s">
        <v>168</v>
      </c>
      <c r="K11" s="2" t="s">
        <v>122</v>
      </c>
    </row>
    <row r="12" spans="1:11" ht="23.25" customHeight="1" x14ac:dyDescent="0.45">
      <c r="A12" s="2" t="s">
        <v>123</v>
      </c>
      <c r="B12" s="2" t="s">
        <v>87</v>
      </c>
      <c r="C12" s="2" t="s">
        <v>88</v>
      </c>
      <c r="D12" s="2" t="s">
        <v>89</v>
      </c>
      <c r="E12" s="3">
        <v>4</v>
      </c>
      <c r="F12" s="3">
        <v>4</v>
      </c>
      <c r="G12" s="3">
        <f>(E12+F12)/2</f>
        <v>4</v>
      </c>
      <c r="H12" s="16">
        <v>2</v>
      </c>
      <c r="I12" s="2" t="s">
        <v>34</v>
      </c>
      <c r="J12" s="23" t="s">
        <v>151</v>
      </c>
      <c r="K12" s="4" t="s">
        <v>124</v>
      </c>
    </row>
  </sheetData>
  <hyperlinks>
    <hyperlink ref="J2" r:id="rId1" xr:uid="{763872EF-FD14-4894-A503-685FC00F41C9}"/>
    <hyperlink ref="J3" r:id="rId2" xr:uid="{12AB9AE3-AB47-452D-B7D0-86F0EFC38AA9}"/>
    <hyperlink ref="J4" r:id="rId3" xr:uid="{27CEEDC0-2097-48DC-82F7-792767EC7B6A}"/>
    <hyperlink ref="J5" r:id="rId4" xr:uid="{21DF0144-E385-4949-B6CF-D96E5C1C9E3B}"/>
    <hyperlink ref="J6" r:id="rId5" xr:uid="{B9876699-65F5-4156-A3DC-34037C20C831}"/>
    <hyperlink ref="J8" r:id="rId6" xr:uid="{FC813C87-9442-477F-86D0-567F1BCF8164}"/>
    <hyperlink ref="J9" r:id="rId7" xr:uid="{C4687728-333D-44E9-82BA-26A8272B8571}"/>
    <hyperlink ref="J10" r:id="rId8" xr:uid="{31815336-5265-4856-B652-8607825CC0AE}"/>
    <hyperlink ref="J11" r:id="rId9" xr:uid="{F50E7E34-E507-41A4-911C-252C83C00822}"/>
    <hyperlink ref="J12" r:id="rId10" xr:uid="{C6B5BB21-A71C-4AFB-B1C8-E46B6DC80644}"/>
    <hyperlink ref="J7" r:id="rId11" xr:uid="{35297CA7-1850-4B15-8BEA-D31D7B67AFA2}"/>
  </hyperlinks>
  <pageMargins left="0.75" right="0.75" top="1" bottom="1" header="0.5" footer="0.5"/>
  <pageSetup paperSize="9"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"/>
  <sheetViews>
    <sheetView topLeftCell="C1" workbookViewId="0">
      <pane ySplit="1" topLeftCell="A2" activePane="bottomLeft" state="frozen"/>
      <selection pane="bottomLeft" activeCell="F25" sqref="F25"/>
    </sheetView>
  </sheetViews>
  <sheetFormatPr baseColWidth="10" defaultColWidth="9.1328125" defaultRowHeight="14.25" x14ac:dyDescent="0.45"/>
  <cols>
    <col min="1" max="1" width="12" customWidth="1"/>
    <col min="2" max="3" width="30" customWidth="1"/>
    <col min="4" max="4" width="18" customWidth="1"/>
    <col min="5" max="5" width="20" customWidth="1"/>
    <col min="6" max="6" width="14" customWidth="1"/>
    <col min="7" max="7" width="22" customWidth="1"/>
    <col min="9" max="9" width="18.86328125" customWidth="1"/>
    <col min="10" max="10" width="38" customWidth="1"/>
    <col min="11" max="11" width="17.3984375" style="22" customWidth="1"/>
    <col min="12" max="12" width="50" customWidth="1"/>
  </cols>
  <sheetData>
    <row r="1" spans="1:12" ht="26.25" customHeight="1" x14ac:dyDescent="0.45">
      <c r="A1" s="6" t="s">
        <v>125</v>
      </c>
      <c r="B1" s="6" t="s">
        <v>126</v>
      </c>
      <c r="C1" s="6" t="s">
        <v>127</v>
      </c>
      <c r="D1" s="6" t="s">
        <v>94</v>
      </c>
      <c r="E1" s="6" t="s">
        <v>128</v>
      </c>
      <c r="F1" s="6" t="s">
        <v>130</v>
      </c>
      <c r="G1" s="6" t="s">
        <v>96</v>
      </c>
      <c r="H1" s="6" t="s">
        <v>98</v>
      </c>
      <c r="I1" s="6" t="s">
        <v>152</v>
      </c>
      <c r="J1" s="6" t="s">
        <v>129</v>
      </c>
      <c r="K1" s="6" t="s">
        <v>99</v>
      </c>
      <c r="L1" s="6" t="s">
        <v>9</v>
      </c>
    </row>
    <row r="2" spans="1:12" ht="34.9" x14ac:dyDescent="0.45">
      <c r="A2" s="7" t="s">
        <v>131</v>
      </c>
      <c r="B2" s="7" t="s">
        <v>61</v>
      </c>
      <c r="C2" s="7" t="s">
        <v>62</v>
      </c>
      <c r="D2" s="7" t="s">
        <v>57</v>
      </c>
      <c r="E2" s="7" t="s">
        <v>132</v>
      </c>
      <c r="F2" s="7" t="s">
        <v>134</v>
      </c>
      <c r="G2" s="18">
        <v>5</v>
      </c>
      <c r="H2" s="8">
        <v>2</v>
      </c>
      <c r="I2" s="8">
        <v>5</v>
      </c>
      <c r="J2" s="7" t="s">
        <v>133</v>
      </c>
      <c r="K2" s="8" t="s">
        <v>34</v>
      </c>
      <c r="L2" s="25" t="s">
        <v>169</v>
      </c>
    </row>
    <row r="3" spans="1:12" ht="23.25" x14ac:dyDescent="0.45">
      <c r="A3" s="9" t="s">
        <v>135</v>
      </c>
      <c r="B3" s="9" t="s">
        <v>64</v>
      </c>
      <c r="C3" s="9" t="s">
        <v>65</v>
      </c>
      <c r="D3" s="9" t="s">
        <v>57</v>
      </c>
      <c r="E3" s="9" t="s">
        <v>132</v>
      </c>
      <c r="F3" s="9" t="s">
        <v>134</v>
      </c>
      <c r="G3" s="19">
        <v>4.8</v>
      </c>
      <c r="H3" s="10">
        <v>1</v>
      </c>
      <c r="I3" s="10">
        <v>4.8</v>
      </c>
      <c r="J3" s="9" t="s">
        <v>136</v>
      </c>
      <c r="K3" s="19" t="s">
        <v>154</v>
      </c>
      <c r="L3" s="26" t="s">
        <v>170</v>
      </c>
    </row>
    <row r="4" spans="1:12" ht="23.25" customHeight="1" x14ac:dyDescent="0.45">
      <c r="A4" s="7" t="s">
        <v>137</v>
      </c>
      <c r="B4" s="7" t="s">
        <v>68</v>
      </c>
      <c r="C4" s="7" t="s">
        <v>69</v>
      </c>
      <c r="D4" s="7" t="s">
        <v>70</v>
      </c>
      <c r="E4" s="7" t="s">
        <v>138</v>
      </c>
      <c r="F4" s="7" t="s">
        <v>134</v>
      </c>
      <c r="G4" s="18">
        <v>3.8</v>
      </c>
      <c r="H4" s="8">
        <v>2</v>
      </c>
      <c r="I4" s="8">
        <v>4.2</v>
      </c>
      <c r="J4" s="7" t="s">
        <v>139</v>
      </c>
      <c r="K4" s="8" t="s">
        <v>34</v>
      </c>
      <c r="L4" s="25" t="s">
        <v>171</v>
      </c>
    </row>
    <row r="5" spans="1:12" ht="23.25" customHeight="1" x14ac:dyDescent="0.45">
      <c r="A5" s="9" t="s">
        <v>140</v>
      </c>
      <c r="B5" s="9" t="s">
        <v>156</v>
      </c>
      <c r="C5" s="9" t="s">
        <v>73</v>
      </c>
      <c r="D5" s="9" t="s">
        <v>74</v>
      </c>
      <c r="E5" s="9" t="s">
        <v>141</v>
      </c>
      <c r="F5" s="9" t="s">
        <v>134</v>
      </c>
      <c r="G5" s="19">
        <v>3.6</v>
      </c>
      <c r="H5" s="10">
        <v>2</v>
      </c>
      <c r="I5" s="10">
        <v>3.8</v>
      </c>
      <c r="J5" s="9" t="s">
        <v>142</v>
      </c>
      <c r="K5" s="19" t="s">
        <v>34</v>
      </c>
      <c r="L5" s="26" t="s">
        <v>172</v>
      </c>
    </row>
    <row r="6" spans="1:12" ht="23.25" customHeight="1" x14ac:dyDescent="0.45">
      <c r="A6" s="7" t="s">
        <v>143</v>
      </c>
      <c r="B6" s="7" t="s">
        <v>77</v>
      </c>
      <c r="C6" s="7" t="s">
        <v>78</v>
      </c>
      <c r="D6" s="7" t="s">
        <v>79</v>
      </c>
      <c r="E6" s="7" t="s">
        <v>144</v>
      </c>
      <c r="F6" s="7" t="s">
        <v>134</v>
      </c>
      <c r="G6" s="18">
        <v>4.5999999999999996</v>
      </c>
      <c r="H6" s="8">
        <v>1</v>
      </c>
      <c r="I6" s="8">
        <v>4.5999999999999996</v>
      </c>
      <c r="J6" s="7" t="s">
        <v>145</v>
      </c>
      <c r="K6" s="8" t="s">
        <v>154</v>
      </c>
      <c r="L6" s="25" t="s">
        <v>173</v>
      </c>
    </row>
    <row r="7" spans="1:12" ht="23.25" customHeight="1" x14ac:dyDescent="0.45">
      <c r="A7" s="9" t="s">
        <v>146</v>
      </c>
      <c r="B7" s="9" t="s">
        <v>157</v>
      </c>
      <c r="C7" s="9" t="s">
        <v>82</v>
      </c>
      <c r="D7" s="9" t="s">
        <v>79</v>
      </c>
      <c r="E7" s="9" t="s">
        <v>147</v>
      </c>
      <c r="F7" s="9" t="s">
        <v>134</v>
      </c>
      <c r="G7" s="19">
        <v>3</v>
      </c>
      <c r="H7" s="10">
        <v>3</v>
      </c>
      <c r="I7" s="10">
        <v>3</v>
      </c>
      <c r="J7" s="9" t="s">
        <v>148</v>
      </c>
      <c r="K7" s="19" t="s">
        <v>155</v>
      </c>
      <c r="L7" s="26" t="s">
        <v>174</v>
      </c>
    </row>
    <row r="8" spans="1:12" ht="23.25" customHeight="1" x14ac:dyDescent="0.45">
      <c r="A8" s="7" t="s">
        <v>149</v>
      </c>
      <c r="B8" s="7" t="s">
        <v>158</v>
      </c>
      <c r="C8" s="7" t="s">
        <v>62</v>
      </c>
      <c r="D8" s="7" t="s">
        <v>57</v>
      </c>
      <c r="E8" s="7" t="s">
        <v>132</v>
      </c>
      <c r="F8" s="7" t="s">
        <v>134</v>
      </c>
      <c r="G8" s="18">
        <v>4.2</v>
      </c>
      <c r="H8" s="8">
        <v>2</v>
      </c>
      <c r="I8" s="8">
        <v>4</v>
      </c>
      <c r="J8" s="7" t="s">
        <v>150</v>
      </c>
      <c r="K8" s="8" t="s">
        <v>34</v>
      </c>
      <c r="L8" s="25" t="s">
        <v>175</v>
      </c>
    </row>
  </sheetData>
  <hyperlinks>
    <hyperlink ref="L2" r:id="rId1" location="logistic-regression" xr:uid="{CC41D581-7B9F-4C5D-A1F1-265458B7057C}"/>
    <hyperlink ref="L3" r:id="rId2" location="random-forests" xr:uid="{F82C31BF-6758-4C60-A5FF-2F7F0279C417}"/>
    <hyperlink ref="L4" r:id="rId3" location="k-means" xr:uid="{D8C683D8-AF1D-4F67-A746-72F6B52D542A}"/>
    <hyperlink ref="L5" r:id="rId4" location="pca" xr:uid="{3B8360E0-1CE5-42FB-BC5F-7A5610BB3E03}"/>
    <hyperlink ref="L6" r:id="rId5" xr:uid="{0D5425EC-9868-409E-BF2C-A3D9361DD637}"/>
    <hyperlink ref="L7" r:id="rId6" xr:uid="{7504A3B3-FB88-4C07-A209-BEF64402562E}"/>
    <hyperlink ref="L8" r:id="rId7" xr:uid="{727FCBC8-7374-4718-9F01-CDD27662ED94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tabSelected="1" topLeftCell="B1" workbookViewId="0">
      <pane ySplit="1" topLeftCell="A3" activePane="bottomLeft" state="frozen"/>
      <selection pane="bottomLeft" activeCell="B20" sqref="A20:XFD35"/>
    </sheetView>
  </sheetViews>
  <sheetFormatPr baseColWidth="10" defaultColWidth="9.1328125" defaultRowHeight="14.25" x14ac:dyDescent="0.45"/>
  <cols>
    <col min="1" max="1" width="7" customWidth="1"/>
    <col min="2" max="2" width="10" customWidth="1"/>
    <col min="3" max="3" width="33.6640625" bestFit="1" customWidth="1"/>
    <col min="4" max="4" width="28" customWidth="1"/>
    <col min="5" max="5" width="16" customWidth="1"/>
    <col min="6" max="6" width="14.06640625" customWidth="1"/>
    <col min="7" max="7" width="10" customWidth="1"/>
    <col min="8" max="8" width="21.796875" bestFit="1" customWidth="1"/>
    <col min="9" max="9" width="46.33203125" bestFit="1" customWidth="1"/>
    <col min="10" max="10" width="62.796875" customWidth="1"/>
  </cols>
  <sheetData>
    <row r="1" spans="1:10" ht="26.25" customHeight="1" x14ac:dyDescent="0.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 spans="1:10" x14ac:dyDescent="0.45">
      <c r="A2" s="12" t="s">
        <v>10</v>
      </c>
      <c r="B2" s="12" t="s">
        <v>11</v>
      </c>
      <c r="C2" s="12" t="s">
        <v>12</v>
      </c>
      <c r="D2" s="12" t="str">
        <f>Outils!C2</f>
        <v>Visualisation / BI</v>
      </c>
      <c r="E2" s="12" t="s">
        <v>14</v>
      </c>
      <c r="F2" s="13">
        <f>Outils!G2</f>
        <v>4.5</v>
      </c>
      <c r="G2" s="13">
        <f>Outils!H2</f>
        <v>1</v>
      </c>
      <c r="H2" s="12" t="str">
        <f>Outils!I2</f>
        <v>PRIORITAIRE</v>
      </c>
      <c r="I2" s="12" t="s">
        <v>15</v>
      </c>
      <c r="J2" s="12" t="str">
        <f>Outils!J2</f>
        <v>https://learn.microsoft.com/fr-fr/power-bi/</v>
      </c>
    </row>
    <row r="3" spans="1:10" x14ac:dyDescent="0.45">
      <c r="A3" s="14" t="s">
        <v>16</v>
      </c>
      <c r="B3" s="14" t="s">
        <v>11</v>
      </c>
      <c r="C3" s="14" t="s">
        <v>17</v>
      </c>
      <c r="D3" s="14" t="str">
        <f>Outils!C3</f>
        <v>Analyse / Modélisation</v>
      </c>
      <c r="E3" s="14" t="s">
        <v>19</v>
      </c>
      <c r="F3" s="15">
        <f>Outils!G3</f>
        <v>4.25</v>
      </c>
      <c r="G3" s="15">
        <f>Outils!H3</f>
        <v>1</v>
      </c>
      <c r="H3" s="14" t="str">
        <f>Outils!I3</f>
        <v>PRIORITAIRE</v>
      </c>
      <c r="I3" s="14" t="s">
        <v>20</v>
      </c>
      <c r="J3" s="14" t="str">
        <f>Outils!J3</f>
        <v>https://www.python.org/</v>
      </c>
    </row>
    <row r="4" spans="1:10" x14ac:dyDescent="0.45">
      <c r="A4" s="12" t="s">
        <v>21</v>
      </c>
      <c r="B4" s="12" t="s">
        <v>11</v>
      </c>
      <c r="C4" s="12" t="s">
        <v>22</v>
      </c>
      <c r="D4" s="12" t="str">
        <f>Outils!C4</f>
        <v>Manipulation de données</v>
      </c>
      <c r="E4" s="12" t="s">
        <v>19</v>
      </c>
      <c r="F4" s="13">
        <f>Outils!G4</f>
        <v>4.4000000000000004</v>
      </c>
      <c r="G4" s="13">
        <f>Outils!H4</f>
        <v>1</v>
      </c>
      <c r="H4" s="12" t="str">
        <f>Outils!I4</f>
        <v>PRIORITAIRE</v>
      </c>
      <c r="I4" s="12" t="s">
        <v>24</v>
      </c>
      <c r="J4" s="12" t="str">
        <f>Outils!J4</f>
        <v>https://pandas.pydata.org/</v>
      </c>
    </row>
    <row r="5" spans="1:10" x14ac:dyDescent="0.45">
      <c r="A5" s="14" t="s">
        <v>25</v>
      </c>
      <c r="B5" s="14" t="s">
        <v>11</v>
      </c>
      <c r="C5" s="14" t="s">
        <v>26</v>
      </c>
      <c r="D5" s="14" t="str">
        <f>Outils!C5</f>
        <v>Machine Learning</v>
      </c>
      <c r="E5" s="14" t="s">
        <v>28</v>
      </c>
      <c r="F5" s="15">
        <f>Outils!G5</f>
        <v>4.0999999999999996</v>
      </c>
      <c r="G5" s="15">
        <f>Outils!H5</f>
        <v>1</v>
      </c>
      <c r="H5" s="14" t="str">
        <f>Outils!I5</f>
        <v>PRIORITAIRE</v>
      </c>
      <c r="I5" s="14" t="s">
        <v>29</v>
      </c>
      <c r="J5" s="14" t="str">
        <f>Outils!J5</f>
        <v>https://scikit-learn.org/stable/</v>
      </c>
    </row>
    <row r="6" spans="1:10" x14ac:dyDescent="0.45">
      <c r="A6" s="12" t="s">
        <v>30</v>
      </c>
      <c r="B6" s="12" t="s">
        <v>11</v>
      </c>
      <c r="C6" s="12" t="s">
        <v>31</v>
      </c>
      <c r="D6" s="12" t="str">
        <f>Outils!C6</f>
        <v>Requêtage BDD</v>
      </c>
      <c r="E6" s="12" t="s">
        <v>33</v>
      </c>
      <c r="F6" s="13">
        <f>Outils!G6</f>
        <v>4</v>
      </c>
      <c r="G6" s="13">
        <f>Outils!H6</f>
        <v>1</v>
      </c>
      <c r="H6" s="12" t="str">
        <f>Outils!I6</f>
        <v>PRIORITAIRE</v>
      </c>
      <c r="I6" s="12" t="s">
        <v>35</v>
      </c>
      <c r="J6" s="12" t="str">
        <f>Outils!J6</f>
        <v>https://www.postgresql.org/</v>
      </c>
    </row>
    <row r="7" spans="1:10" x14ac:dyDescent="0.45">
      <c r="A7" s="14" t="s">
        <v>36</v>
      </c>
      <c r="B7" s="14" t="s">
        <v>11</v>
      </c>
      <c r="C7" s="14" t="s">
        <v>37</v>
      </c>
      <c r="D7" s="14" t="str">
        <f>Outils!C7</f>
        <v>Visualisation Python</v>
      </c>
      <c r="E7" s="14" t="s">
        <v>19</v>
      </c>
      <c r="F7" s="15">
        <f>Outils!G7</f>
        <v>4.2</v>
      </c>
      <c r="G7" s="15">
        <f>Outils!H7</f>
        <v>2</v>
      </c>
      <c r="H7" s="14" t="str">
        <f>Outils!I7</f>
        <v>Recommandé</v>
      </c>
      <c r="I7" s="14" t="s">
        <v>39</v>
      </c>
      <c r="J7" s="14" t="str">
        <f>Outils!J7</f>
        <v>https://matplotlib.org/</v>
      </c>
    </row>
    <row r="8" spans="1:10" x14ac:dyDescent="0.45">
      <c r="A8" s="12" t="s">
        <v>40</v>
      </c>
      <c r="B8" s="12" t="s">
        <v>11</v>
      </c>
      <c r="C8" s="12" t="s">
        <v>41</v>
      </c>
      <c r="D8" s="12" t="str">
        <f>Outils!C8</f>
        <v>Transformation de données</v>
      </c>
      <c r="E8" s="12" t="s">
        <v>42</v>
      </c>
      <c r="F8" s="13">
        <f>Outils!G8</f>
        <v>4</v>
      </c>
      <c r="G8" s="13">
        <f>Outils!H8</f>
        <v>2</v>
      </c>
      <c r="H8" s="12" t="str">
        <f>Outils!I8</f>
        <v>Recommandé</v>
      </c>
      <c r="I8" s="12" t="s">
        <v>43</v>
      </c>
      <c r="J8" s="12" t="str">
        <f>Outils!J8</f>
        <v>https://learn.microsoft.com/fr-fr/power-query/</v>
      </c>
    </row>
    <row r="9" spans="1:10" x14ac:dyDescent="0.45">
      <c r="A9" s="14" t="s">
        <v>44</v>
      </c>
      <c r="B9" s="14" t="s">
        <v>11</v>
      </c>
      <c r="C9" s="14" t="s">
        <v>45</v>
      </c>
      <c r="D9" s="14" t="str">
        <f>Outils!C9</f>
        <v>Tableur / Analyse de base</v>
      </c>
      <c r="E9" s="14" t="s">
        <v>47</v>
      </c>
      <c r="F9" s="15">
        <f>Outils!G9</f>
        <v>4</v>
      </c>
      <c r="G9" s="15">
        <f>Outils!H9</f>
        <v>3</v>
      </c>
      <c r="H9" s="14" t="str">
        <f>Outils!I9</f>
        <v>A évaluer</v>
      </c>
      <c r="I9" s="14" t="s">
        <v>48</v>
      </c>
      <c r="J9" s="14" t="str">
        <f>Outils!J9</f>
        <v>https://support.microsoft.com/fr-fr/excel</v>
      </c>
    </row>
    <row r="10" spans="1:10" x14ac:dyDescent="0.45">
      <c r="A10" s="12" t="s">
        <v>49</v>
      </c>
      <c r="B10" s="12" t="s">
        <v>11</v>
      </c>
      <c r="C10" s="12" t="s">
        <v>50</v>
      </c>
      <c r="D10" s="12" t="str">
        <f>Outils!C10</f>
        <v>ML visuel / Low-code</v>
      </c>
      <c r="E10" s="12" t="s">
        <v>52</v>
      </c>
      <c r="F10" s="13">
        <f>Outils!G10</f>
        <v>3.25</v>
      </c>
      <c r="G10" s="13">
        <f>Outils!H10</f>
        <v>3</v>
      </c>
      <c r="H10" s="12" t="str">
        <f>Outils!I10</f>
        <v>A évaluer</v>
      </c>
      <c r="I10" s="12" t="s">
        <v>53</v>
      </c>
      <c r="J10" s="12" t="str">
        <f>Outils!J10</f>
        <v>https://docs.knime.com/ap/latest/</v>
      </c>
    </row>
    <row r="11" spans="1:10" x14ac:dyDescent="0.45">
      <c r="A11" s="14" t="s">
        <v>54</v>
      </c>
      <c r="B11" s="14" t="s">
        <v>11</v>
      </c>
      <c r="C11" s="14" t="s">
        <v>55</v>
      </c>
      <c r="D11" s="14" t="str">
        <f>Outils!C11</f>
        <v>Déploiement app ML</v>
      </c>
      <c r="E11" s="14" t="s">
        <v>57</v>
      </c>
      <c r="F11" s="15">
        <f>Outils!G11</f>
        <v>4</v>
      </c>
      <c r="G11" s="15">
        <f>Outils!H11</f>
        <v>2</v>
      </c>
      <c r="H11" s="14" t="str">
        <f>Outils!I11</f>
        <v>Recommandé</v>
      </c>
      <c r="I11" s="14" t="s">
        <v>58</v>
      </c>
      <c r="J11" s="14" t="str">
        <f>Outils!J11</f>
        <v>https://docs.streamlit.io/</v>
      </c>
    </row>
    <row r="12" spans="1:10" ht="23.25" x14ac:dyDescent="0.45">
      <c r="A12" s="12" t="s">
        <v>59</v>
      </c>
      <c r="B12" s="12" t="s">
        <v>60</v>
      </c>
      <c r="C12" s="12" t="s">
        <v>61</v>
      </c>
      <c r="D12" s="12" t="str">
        <f>Méthodes!C2</f>
        <v>ML Supervisé — Classification</v>
      </c>
      <c r="E12" s="12" t="s">
        <v>57</v>
      </c>
      <c r="F12" s="13">
        <f>Méthodes!I2</f>
        <v>5</v>
      </c>
      <c r="G12" s="20">
        <f>Méthodes!H2</f>
        <v>2</v>
      </c>
      <c r="H12" s="12" t="str">
        <f>Méthodes!K2</f>
        <v>Recommandé</v>
      </c>
      <c r="I12" s="21" t="s">
        <v>153</v>
      </c>
      <c r="J12" s="12" t="str">
        <f>Méthodes!L2</f>
        <v>https://scikit-learn.org/stable/modules/linear_model.html#logistic-regression</v>
      </c>
    </row>
    <row r="13" spans="1:10" x14ac:dyDescent="0.45">
      <c r="A13" s="14" t="s">
        <v>63</v>
      </c>
      <c r="B13" s="14" t="s">
        <v>60</v>
      </c>
      <c r="C13" s="14" t="s">
        <v>64</v>
      </c>
      <c r="D13" s="12" t="str">
        <f>Méthodes!C3</f>
        <v>ML Supervisé — Ensemble</v>
      </c>
      <c r="E13" s="14" t="s">
        <v>57</v>
      </c>
      <c r="F13" s="15">
        <f>Méthodes!I3</f>
        <v>4.8</v>
      </c>
      <c r="G13" s="15">
        <f>Méthodes!H3</f>
        <v>1</v>
      </c>
      <c r="H13" s="14" t="str">
        <f>Méthodes!K3</f>
        <v>PRIORITAIRE</v>
      </c>
      <c r="I13" s="14" t="s">
        <v>66</v>
      </c>
      <c r="J13" s="14" t="str">
        <f>Méthodes!L3</f>
        <v>https://scikit-learn.org/stable/modules/ensemble.html#random-forests</v>
      </c>
    </row>
    <row r="14" spans="1:10" x14ac:dyDescent="0.45">
      <c r="A14" s="12" t="s">
        <v>67</v>
      </c>
      <c r="B14" s="12" t="s">
        <v>60</v>
      </c>
      <c r="C14" s="12" t="s">
        <v>68</v>
      </c>
      <c r="D14" s="12" t="str">
        <f>Méthodes!C4</f>
        <v>ML Non Supervisé</v>
      </c>
      <c r="E14" s="12" t="s">
        <v>70</v>
      </c>
      <c r="F14" s="13">
        <f>Méthodes!I4</f>
        <v>4.2</v>
      </c>
      <c r="G14" s="20">
        <f>Méthodes!H4</f>
        <v>2</v>
      </c>
      <c r="H14" s="12" t="str">
        <f>Méthodes!K4</f>
        <v>Recommandé</v>
      </c>
      <c r="I14" s="12" t="s">
        <v>71</v>
      </c>
      <c r="J14" s="12" t="str">
        <f>Méthodes!L4</f>
        <v>https://scikit-learn.org/stable/modules/clustering.html#k-means</v>
      </c>
    </row>
    <row r="15" spans="1:10" x14ac:dyDescent="0.45">
      <c r="A15" s="14" t="s">
        <v>72</v>
      </c>
      <c r="B15" s="14" t="s">
        <v>60</v>
      </c>
      <c r="C15" s="14" t="s">
        <v>156</v>
      </c>
      <c r="D15" s="12" t="str">
        <f>Méthodes!C5</f>
        <v>Réduction de dimensions</v>
      </c>
      <c r="E15" s="14" t="s">
        <v>74</v>
      </c>
      <c r="F15" s="15">
        <f>Méthodes!I5</f>
        <v>3.8</v>
      </c>
      <c r="G15" s="15">
        <f>Méthodes!H5</f>
        <v>2</v>
      </c>
      <c r="H15" s="14" t="str">
        <f>Méthodes!K5</f>
        <v>Recommandé</v>
      </c>
      <c r="I15" s="14" t="s">
        <v>75</v>
      </c>
      <c r="J15" s="14" t="str">
        <f>Méthodes!L5</f>
        <v>https://scikit-learn.org/stable/modules/decomposition.html#pca</v>
      </c>
    </row>
    <row r="16" spans="1:10" x14ac:dyDescent="0.45">
      <c r="A16" s="12" t="s">
        <v>76</v>
      </c>
      <c r="B16" s="12" t="s">
        <v>60</v>
      </c>
      <c r="C16" s="12" t="s">
        <v>77</v>
      </c>
      <c r="D16" s="12" t="str">
        <f>Méthodes!C6</f>
        <v>Statistiques temporelles</v>
      </c>
      <c r="E16" s="12" t="s">
        <v>79</v>
      </c>
      <c r="F16" s="13">
        <f>Méthodes!I6</f>
        <v>4.5999999999999996</v>
      </c>
      <c r="G16" s="20">
        <f>Méthodes!H6</f>
        <v>1</v>
      </c>
      <c r="H16" s="12" t="str">
        <f>Méthodes!K6</f>
        <v>PRIORITAIRE</v>
      </c>
      <c r="I16" s="12" t="s">
        <v>80</v>
      </c>
      <c r="J16" s="12" t="str">
        <f>Méthodes!L6</f>
        <v>https://www.statsmodels.org/stable/tsa.html</v>
      </c>
    </row>
    <row r="17" spans="1:10" x14ac:dyDescent="0.45">
      <c r="A17" s="14" t="s">
        <v>81</v>
      </c>
      <c r="B17" s="14" t="s">
        <v>60</v>
      </c>
      <c r="C17" s="14" t="s">
        <v>157</v>
      </c>
      <c r="D17" s="12" t="str">
        <f>Méthodes!C7</f>
        <v>Statistiques inférentielles</v>
      </c>
      <c r="E17" s="14" t="s">
        <v>79</v>
      </c>
      <c r="F17" s="15">
        <f>Méthodes!I7</f>
        <v>3</v>
      </c>
      <c r="G17" s="15">
        <f>Méthodes!H7</f>
        <v>3</v>
      </c>
      <c r="H17" s="14" t="str">
        <f>Méthodes!K7</f>
        <v>A évaluer</v>
      </c>
      <c r="I17" s="14" t="s">
        <v>83</v>
      </c>
      <c r="J17" s="14" t="str">
        <f>Méthodes!L7</f>
        <v>https://docs.scipy.org/doc/scipy/reference/stats.html</v>
      </c>
    </row>
    <row r="18" spans="1:10" x14ac:dyDescent="0.45">
      <c r="A18" s="12" t="s">
        <v>84</v>
      </c>
      <c r="B18" s="12" t="s">
        <v>60</v>
      </c>
      <c r="C18" s="12" t="s">
        <v>158</v>
      </c>
      <c r="D18" s="12" t="str">
        <f>Méthodes!C8</f>
        <v>ML Supervisé — Classification</v>
      </c>
      <c r="E18" s="12" t="s">
        <v>57</v>
      </c>
      <c r="F18" s="13">
        <f>Méthodes!I8</f>
        <v>4</v>
      </c>
      <c r="G18" s="20">
        <f>Méthodes!H8</f>
        <v>2</v>
      </c>
      <c r="H18" s="12" t="str">
        <f>Méthodes!K8</f>
        <v>Recommandé</v>
      </c>
      <c r="I18" s="12" t="s">
        <v>85</v>
      </c>
      <c r="J18" s="12" t="str">
        <f>Méthodes!L8</f>
        <v>https://scikit-learn.org/stable/modules/neighbors.html</v>
      </c>
    </row>
    <row r="19" spans="1:10" x14ac:dyDescent="0.45">
      <c r="A19" s="14" t="s">
        <v>86</v>
      </c>
      <c r="B19" s="14" t="s">
        <v>11</v>
      </c>
      <c r="C19" s="14" t="s">
        <v>87</v>
      </c>
      <c r="D19" s="14" t="str">
        <f>Outils!C12</f>
        <v>Modélisation BDD</v>
      </c>
      <c r="E19" s="14" t="s">
        <v>89</v>
      </c>
      <c r="F19" s="15">
        <f>Outils!G12</f>
        <v>4</v>
      </c>
      <c r="G19" s="15">
        <f>Outils!H12</f>
        <v>2</v>
      </c>
      <c r="H19" s="14" t="str">
        <f>Outils!I12</f>
        <v>Recommandé</v>
      </c>
      <c r="I19" s="14" t="s">
        <v>90</v>
      </c>
      <c r="J19" s="14" t="s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Outils</vt:lpstr>
      <vt:lpstr>Méthodes</vt:lpstr>
      <vt:lpstr>Synthèse Veille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Laurent Maganto</cp:lastModifiedBy>
  <dcterms:created xsi:type="dcterms:W3CDTF">2026-03-09T15:17:47Z</dcterms:created>
  <dcterms:modified xsi:type="dcterms:W3CDTF">2026-03-14T12:52:41Z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a12554-321c-45c3-b2fd-7e3f55c509d9_Enabled">
    <vt:lpwstr>true</vt:lpwstr>
  </property>
  <property fmtid="{D5CDD505-2E9C-101B-9397-08002B2CF9AE}" pid="3" name="MSIP_Label_56a12554-321c-45c3-b2fd-7e3f55c509d9_SetDate">
    <vt:lpwstr>2026-03-09T15:52:38Z</vt:lpwstr>
  </property>
  <property fmtid="{D5CDD505-2E9C-101B-9397-08002B2CF9AE}" pid="4" name="MSIP_Label_56a12554-321c-45c3-b2fd-7e3f55c509d9_Method">
    <vt:lpwstr>Privileged</vt:lpwstr>
  </property>
  <property fmtid="{D5CDD505-2E9C-101B-9397-08002B2CF9AE}" pid="5" name="MSIP_Label_56a12554-321c-45c3-b2fd-7e3f55c509d9_Name">
    <vt:lpwstr>56a12554-321c-45c3-b2fd-7e3f55c509d9</vt:lpwstr>
  </property>
  <property fmtid="{D5CDD505-2E9C-101B-9397-08002B2CF9AE}" pid="6" name="MSIP_Label_56a12554-321c-45c3-b2fd-7e3f55c509d9_SiteId">
    <vt:lpwstr>614f9c25-bffa-42c7-86d8-964101f55fa2</vt:lpwstr>
  </property>
  <property fmtid="{D5CDD505-2E9C-101B-9397-08002B2CF9AE}" pid="7" name="MSIP_Label_56a12554-321c-45c3-b2fd-7e3f55c509d9_ActionId">
    <vt:lpwstr>333f4ac7-21af-4712-9a5a-f1d0b427fee8</vt:lpwstr>
  </property>
  <property fmtid="{D5CDD505-2E9C-101B-9397-08002B2CF9AE}" pid="8" name="MSIP_Label_56a12554-321c-45c3-b2fd-7e3f55c509d9_ContentBits">
    <vt:lpwstr>0</vt:lpwstr>
  </property>
</Properties>
</file>